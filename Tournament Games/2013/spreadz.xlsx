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2040" yWindow="1380" windowWidth="25600" windowHeight="16060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" l="1"/>
  <c r="D10" i="1"/>
  <c r="E14" i="1"/>
  <c r="E162" i="2"/>
  <c r="E161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  <c r="B161" i="2"/>
  <c r="F12" i="1"/>
  <c r="D12" i="1"/>
  <c r="F10" i="1"/>
  <c r="F11" i="1"/>
  <c r="F13" i="1"/>
  <c r="F14" i="1"/>
  <c r="B15" i="1"/>
  <c r="C15" i="1"/>
  <c r="D15" i="1"/>
  <c r="E15" i="1"/>
  <c r="F9" i="1"/>
  <c r="F15" i="1"/>
  <c r="F8" i="1"/>
  <c r="F2" i="1"/>
  <c r="D3" i="1"/>
  <c r="F3" i="1"/>
  <c r="F4" i="1"/>
  <c r="D5" i="1"/>
  <c r="F5" i="1"/>
  <c r="D6" i="1"/>
  <c r="F6" i="1"/>
  <c r="F7" i="1"/>
</calcChain>
</file>

<file path=xl/sharedStrings.xml><?xml version="1.0" encoding="utf-8"?>
<sst xmlns="http://schemas.openxmlformats.org/spreadsheetml/2006/main" count="204" uniqueCount="184">
  <si>
    <t>TOURNAMENT</t>
  </si>
  <si>
    <t>winnings</t>
  </si>
  <si>
    <t>entry fee</t>
  </si>
  <si>
    <t>travel costs</t>
  </si>
  <si>
    <t>Berkeley Jan</t>
  </si>
  <si>
    <t>NOLA</t>
  </si>
  <si>
    <t>BOB</t>
  </si>
  <si>
    <t>VEGAS</t>
  </si>
  <si>
    <t>Vancouver</t>
  </si>
  <si>
    <t>Nationals</t>
  </si>
  <si>
    <t>lodgings</t>
  </si>
  <si>
    <t>net</t>
  </si>
  <si>
    <t>BAT Premier</t>
  </si>
  <si>
    <t>WORLDS</t>
  </si>
  <si>
    <t>Can-Am</t>
  </si>
  <si>
    <t>VIP</t>
  </si>
  <si>
    <t>MSI</t>
  </si>
  <si>
    <t>Club</t>
  </si>
  <si>
    <t>Berkeley Jun</t>
  </si>
  <si>
    <t>WUD</t>
  </si>
  <si>
    <t>SCUD</t>
  </si>
  <si>
    <t>?AGI</t>
  </si>
  <si>
    <t>?AGJ</t>
  </si>
  <si>
    <t>?AGL</t>
  </si>
  <si>
    <t>?AGN</t>
  </si>
  <si>
    <t>?AGO</t>
  </si>
  <si>
    <t>?AGS</t>
  </si>
  <si>
    <t>?AIJ</t>
  </si>
  <si>
    <t>?AIL</t>
  </si>
  <si>
    <t>?AIN</t>
  </si>
  <si>
    <t>?AIO</t>
  </si>
  <si>
    <t>?AIS</t>
  </si>
  <si>
    <t>?AJL</t>
  </si>
  <si>
    <t>?AJN</t>
  </si>
  <si>
    <t>?AJO</t>
  </si>
  <si>
    <t>?AJS</t>
  </si>
  <si>
    <t>?ALN</t>
  </si>
  <si>
    <t>?ALO</t>
  </si>
  <si>
    <t>?ALS</t>
  </si>
  <si>
    <t>?ANN</t>
  </si>
  <si>
    <t>?ANO</t>
  </si>
  <si>
    <t>?ANS</t>
  </si>
  <si>
    <t>?AOS</t>
  </si>
  <si>
    <t>?GIJ</t>
  </si>
  <si>
    <t>?GIL</t>
  </si>
  <si>
    <t>?GIN</t>
  </si>
  <si>
    <t>?GIO</t>
  </si>
  <si>
    <t>?GIS</t>
  </si>
  <si>
    <t>?GJL</t>
  </si>
  <si>
    <t>?GJN</t>
  </si>
  <si>
    <t>?GJO</t>
  </si>
  <si>
    <t>?GJS</t>
  </si>
  <si>
    <t>?GLN</t>
  </si>
  <si>
    <t>?GLO</t>
  </si>
  <si>
    <t>?GLS</t>
  </si>
  <si>
    <t>?GNN</t>
  </si>
  <si>
    <t>?GNO</t>
  </si>
  <si>
    <t>?GNS</t>
  </si>
  <si>
    <t>?GOS</t>
  </si>
  <si>
    <t>?IJL</t>
  </si>
  <si>
    <t>?IJN</t>
  </si>
  <si>
    <t>?IJO</t>
  </si>
  <si>
    <t>?IJS</t>
  </si>
  <si>
    <t>?ILN</t>
  </si>
  <si>
    <t>?ILO</t>
  </si>
  <si>
    <t>?ILS</t>
  </si>
  <si>
    <t>?INN</t>
  </si>
  <si>
    <t>?INO</t>
  </si>
  <si>
    <t>?INS</t>
  </si>
  <si>
    <t>?IOS</t>
  </si>
  <si>
    <t>?JLN</t>
  </si>
  <si>
    <t>?JLO</t>
  </si>
  <si>
    <t>?JLS</t>
  </si>
  <si>
    <t>?JNN</t>
  </si>
  <si>
    <t>?JNO</t>
  </si>
  <si>
    <t>?JNS</t>
  </si>
  <si>
    <t>?JOS</t>
  </si>
  <si>
    <t>?LNN</t>
  </si>
  <si>
    <t>?LNO</t>
  </si>
  <si>
    <t>?LNS</t>
  </si>
  <si>
    <t>?NNN</t>
  </si>
  <si>
    <t>?NNO</t>
  </si>
  <si>
    <t>?NNS</t>
  </si>
  <si>
    <t>?NOS</t>
  </si>
  <si>
    <t>AGIJ</t>
  </si>
  <si>
    <t>AGIL</t>
  </si>
  <si>
    <t>AGIN</t>
  </si>
  <si>
    <t>AGIO</t>
  </si>
  <si>
    <t>AGIS</t>
  </si>
  <si>
    <t>AGJL</t>
  </si>
  <si>
    <t>AGJN</t>
  </si>
  <si>
    <t>AGJO</t>
  </si>
  <si>
    <t>AGJS</t>
  </si>
  <si>
    <t>AGLN</t>
  </si>
  <si>
    <t>AGLO</t>
  </si>
  <si>
    <t>AGLS</t>
  </si>
  <si>
    <t>AGNN</t>
  </si>
  <si>
    <t>AGNO</t>
  </si>
  <si>
    <t>AGNS</t>
  </si>
  <si>
    <t>AGOS</t>
  </si>
  <si>
    <t>AIJL</t>
  </si>
  <si>
    <t>AIJN</t>
  </si>
  <si>
    <t>AIJO</t>
  </si>
  <si>
    <t>AIJS</t>
  </si>
  <si>
    <t>AILN</t>
  </si>
  <si>
    <t>AILO</t>
  </si>
  <si>
    <t>AILS</t>
  </si>
  <si>
    <t>AINN</t>
  </si>
  <si>
    <t>AINO</t>
  </si>
  <si>
    <t>AINS</t>
  </si>
  <si>
    <t>AIOS</t>
  </si>
  <si>
    <t>AJLN</t>
  </si>
  <si>
    <t>AJLO</t>
  </si>
  <si>
    <t>AJLS</t>
  </si>
  <si>
    <t>AJNN</t>
  </si>
  <si>
    <t>AJNO</t>
  </si>
  <si>
    <t>AJNS</t>
  </si>
  <si>
    <t>ALNN</t>
  </si>
  <si>
    <t>ALNO</t>
  </si>
  <si>
    <t>ALNS</t>
  </si>
  <si>
    <t>ANNN</t>
  </si>
  <si>
    <t>ANNO</t>
  </si>
  <si>
    <t>ANNS</t>
  </si>
  <si>
    <t>ANOS</t>
  </si>
  <si>
    <t>johnnies</t>
  </si>
  <si>
    <t>shoaling</t>
  </si>
  <si>
    <t>bingo</t>
  </si>
  <si>
    <t>GIJL</t>
  </si>
  <si>
    <t>GIJN</t>
  </si>
  <si>
    <t>GIJO</t>
  </si>
  <si>
    <t>GIJS</t>
  </si>
  <si>
    <t>GILN</t>
  </si>
  <si>
    <t>GILO</t>
  </si>
  <si>
    <t>GILS</t>
  </si>
  <si>
    <t>GINN</t>
  </si>
  <si>
    <t>GINO</t>
  </si>
  <si>
    <t>GINS</t>
  </si>
  <si>
    <t>GIOS</t>
  </si>
  <si>
    <t>GJLN</t>
  </si>
  <si>
    <t>GJLO</t>
  </si>
  <si>
    <t>GJLS</t>
  </si>
  <si>
    <t>GJNN</t>
  </si>
  <si>
    <t>GJNO</t>
  </si>
  <si>
    <t>GJNS</t>
  </si>
  <si>
    <t>GJOS</t>
  </si>
  <si>
    <t>GLNN</t>
  </si>
  <si>
    <t>GLNO</t>
  </si>
  <si>
    <t>GLNS</t>
  </si>
  <si>
    <t>GNNN</t>
  </si>
  <si>
    <t>GNNO</t>
  </si>
  <si>
    <t>GNNS</t>
  </si>
  <si>
    <t>GNOS</t>
  </si>
  <si>
    <t>IJLN</t>
  </si>
  <si>
    <t>IJLO</t>
  </si>
  <si>
    <t>IJLS</t>
  </si>
  <si>
    <t>IJNN</t>
  </si>
  <si>
    <t>IJNO</t>
  </si>
  <si>
    <t>IJNS</t>
  </si>
  <si>
    <t>IJOS</t>
  </si>
  <si>
    <t>ILNN</t>
  </si>
  <si>
    <t>ILNO</t>
  </si>
  <si>
    <t>ILNS</t>
  </si>
  <si>
    <t>ILOS</t>
  </si>
  <si>
    <t>INNN</t>
  </si>
  <si>
    <t>INNO</t>
  </si>
  <si>
    <t>INNS</t>
  </si>
  <si>
    <t>INOS</t>
  </si>
  <si>
    <t>JLNN</t>
  </si>
  <si>
    <t>JLNO</t>
  </si>
  <si>
    <t>JLNS</t>
  </si>
  <si>
    <t>JLOS</t>
  </si>
  <si>
    <t>JNNN</t>
  </si>
  <si>
    <t>JNNO</t>
  </si>
  <si>
    <t>JNNS</t>
  </si>
  <si>
    <t>JNOS</t>
  </si>
  <si>
    <t>LNNN</t>
  </si>
  <si>
    <t>LNNO</t>
  </si>
  <si>
    <t>LNNS</t>
  </si>
  <si>
    <t>LNOS</t>
  </si>
  <si>
    <t>NNNO</t>
  </si>
  <si>
    <t>NNNS</t>
  </si>
  <si>
    <t>NNOS</t>
  </si>
  <si>
    <t>GLOS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</si>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</sst>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E11" sqref="E11"/>
    </sheetView>
  </sheetViews>
  <sheetFormatPr baseColWidth="10" defaultRowHeight="15" x14ac:dyDescent="0"/>
  <cols>
    <col min="1" max="1" width="13.33203125" bestFit="1" customWidth="1"/>
    <col min="4" max="4" width="10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>
      <c r="A2" t="s">
        <v>4</v>
      </c>
      <c r="B2">
        <v>25</v>
      </c>
      <c r="C2">
        <v>20</v>
      </c>
      <c r="D2">
        <v>0</v>
      </c>
      <c r="E2">
        <v>0</v>
      </c>
      <c r="F2">
        <f>B2-C2-D2-E2</f>
        <v>5</v>
      </c>
    </row>
    <row r="3" spans="1:6">
      <c r="A3" t="s">
        <v>5</v>
      </c>
      <c r="B3">
        <v>1500</v>
      </c>
      <c r="C3">
        <v>100</v>
      </c>
      <c r="D3">
        <f>121.6+144.6+2.5</f>
        <v>268.7</v>
      </c>
      <c r="E3">
        <v>0</v>
      </c>
      <c r="F3">
        <f t="shared" ref="F3:F9" si="0">B3-C3-D3-E3</f>
        <v>1131.3</v>
      </c>
    </row>
    <row r="4" spans="1:6">
      <c r="A4" t="s">
        <v>6</v>
      </c>
      <c r="B4">
        <v>120</v>
      </c>
      <c r="C4">
        <v>20</v>
      </c>
      <c r="D4">
        <v>0</v>
      </c>
      <c r="E4">
        <v>0</v>
      </c>
      <c r="F4">
        <f t="shared" si="0"/>
        <v>100</v>
      </c>
    </row>
    <row r="5" spans="1:6">
      <c r="A5" t="s">
        <v>7</v>
      </c>
      <c r="B5">
        <v>1000</v>
      </c>
      <c r="C5">
        <v>160</v>
      </c>
      <c r="D5">
        <f>68.9+88.8</f>
        <v>157.69999999999999</v>
      </c>
      <c r="E5">
        <v>150</v>
      </c>
      <c r="F5">
        <f t="shared" si="0"/>
        <v>532.29999999999995</v>
      </c>
    </row>
    <row r="6" spans="1:6">
      <c r="A6" t="s">
        <v>8</v>
      </c>
      <c r="B6">
        <v>0</v>
      </c>
      <c r="C6">
        <v>90</v>
      </c>
      <c r="D6">
        <f>49.99+176.45+50</f>
        <v>276.44</v>
      </c>
      <c r="E6">
        <v>0</v>
      </c>
      <c r="F6">
        <f t="shared" si="0"/>
        <v>-366.44</v>
      </c>
    </row>
    <row r="7" spans="1:6">
      <c r="A7" t="s">
        <v>12</v>
      </c>
      <c r="B7">
        <v>0</v>
      </c>
      <c r="C7">
        <v>146</v>
      </c>
      <c r="D7">
        <v>297.8</v>
      </c>
      <c r="E7">
        <v>0</v>
      </c>
      <c r="F7">
        <f t="shared" si="0"/>
        <v>-443.8</v>
      </c>
    </row>
    <row r="8" spans="1:6">
      <c r="A8" t="s">
        <v>17</v>
      </c>
      <c r="B8">
        <v>30</v>
      </c>
      <c r="C8">
        <v>20</v>
      </c>
      <c r="D8">
        <v>0</v>
      </c>
      <c r="E8">
        <v>0</v>
      </c>
      <c r="F8">
        <f t="shared" si="0"/>
        <v>10</v>
      </c>
    </row>
    <row r="9" spans="1:6">
      <c r="A9" t="s">
        <v>18</v>
      </c>
      <c r="B9">
        <v>50</v>
      </c>
      <c r="C9">
        <v>20</v>
      </c>
      <c r="D9">
        <v>0</v>
      </c>
      <c r="E9">
        <v>0</v>
      </c>
      <c r="F9">
        <f t="shared" si="0"/>
        <v>30</v>
      </c>
    </row>
    <row r="10" spans="1:6">
      <c r="A10" t="s">
        <v>16</v>
      </c>
      <c r="C10">
        <v>100</v>
      </c>
      <c r="D10">
        <f>108.9+99.8</f>
        <v>208.7</v>
      </c>
      <c r="E10">
        <f>184+53</f>
        <v>237</v>
      </c>
      <c r="F10">
        <f t="shared" ref="F10" si="1">B10-C10-D10-E10</f>
        <v>-545.70000000000005</v>
      </c>
    </row>
    <row r="11" spans="1:6">
      <c r="A11" t="s">
        <v>9</v>
      </c>
      <c r="C11">
        <v>175</v>
      </c>
      <c r="D11">
        <v>203.8</v>
      </c>
      <c r="F11">
        <f>B11-C11-D11-E11</f>
        <v>-378.8</v>
      </c>
    </row>
    <row r="12" spans="1:6">
      <c r="A12" t="s">
        <v>15</v>
      </c>
      <c r="D12">
        <f>136.14+118.9</f>
        <v>255.04</v>
      </c>
      <c r="E12">
        <v>0</v>
      </c>
      <c r="F12">
        <f>B12-C12-D12-E12</f>
        <v>-255.04</v>
      </c>
    </row>
    <row r="13" spans="1:6">
      <c r="A13" t="s">
        <v>14</v>
      </c>
      <c r="D13">
        <v>325.89999999999998</v>
      </c>
      <c r="E13">
        <v>0</v>
      </c>
      <c r="F13">
        <f>B13-C13-D13-E13</f>
        <v>-325.89999999999998</v>
      </c>
    </row>
    <row r="14" spans="1:6">
      <c r="A14" t="s">
        <v>13</v>
      </c>
      <c r="E14">
        <f>581.28/2</f>
        <v>290.64</v>
      </c>
      <c r="F14">
        <f>B14-C14-D14-E14</f>
        <v>-290.64</v>
      </c>
    </row>
    <row r="15" spans="1:6">
      <c r="B15">
        <f>SUM(B3:B14)</f>
        <v>2700</v>
      </c>
      <c r="C15">
        <f>SUM(C3:C14)</f>
        <v>831</v>
      </c>
      <c r="D15">
        <f>SUM(D3:D14)</f>
        <v>1994.08</v>
      </c>
      <c r="E15">
        <f>SUM(E3:E14)</f>
        <v>677.64</v>
      </c>
      <c r="F15">
        <f>SUM(F3:F14)</f>
        <v>-802.72000000000014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topLeftCell="A125" workbookViewId="0">
      <selection activeCell="E163" sqref="E163"/>
    </sheetView>
  </sheetViews>
  <sheetFormatPr baseColWidth="10" defaultRowHeight="15" x14ac:dyDescent="0"/>
  <sheetData>
    <row r="1" spans="1:5">
      <c r="C1" t="s">
        <v>20</v>
      </c>
      <c r="D1" t="s">
        <v>19</v>
      </c>
    </row>
    <row r="2" spans="1:5">
      <c r="A2" t="s">
        <v>21</v>
      </c>
      <c r="B2">
        <v>1</v>
      </c>
      <c r="C2">
        <v>1</v>
      </c>
      <c r="E2">
        <f>B2*C2</f>
        <v>1</v>
      </c>
    </row>
    <row r="3" spans="1:5">
      <c r="A3" t="s">
        <v>22</v>
      </c>
      <c r="B3">
        <v>1</v>
      </c>
      <c r="C3">
        <v>1</v>
      </c>
      <c r="E3">
        <f t="shared" ref="E3:E66" si="0">B3*C3</f>
        <v>1</v>
      </c>
    </row>
    <row r="4" spans="1:5">
      <c r="A4" t="s">
        <v>23</v>
      </c>
      <c r="B4">
        <v>1</v>
      </c>
      <c r="C4">
        <v>1</v>
      </c>
      <c r="E4">
        <f t="shared" si="0"/>
        <v>1</v>
      </c>
    </row>
    <row r="5" spans="1:5">
      <c r="A5" t="s">
        <v>24</v>
      </c>
      <c r="B5">
        <v>3</v>
      </c>
      <c r="C5">
        <v>1</v>
      </c>
      <c r="E5">
        <f t="shared" si="0"/>
        <v>3</v>
      </c>
    </row>
    <row r="6" spans="1:5">
      <c r="A6" t="s">
        <v>25</v>
      </c>
      <c r="B6">
        <v>1</v>
      </c>
      <c r="C6">
        <v>1</v>
      </c>
      <c r="E6">
        <f t="shared" si="0"/>
        <v>1</v>
      </c>
    </row>
    <row r="7" spans="1:5">
      <c r="A7" t="s">
        <v>26</v>
      </c>
      <c r="B7">
        <v>1</v>
      </c>
      <c r="C7">
        <v>1</v>
      </c>
      <c r="E7">
        <f t="shared" si="0"/>
        <v>1</v>
      </c>
    </row>
    <row r="8" spans="1:5">
      <c r="A8" t="s">
        <v>27</v>
      </c>
      <c r="B8">
        <v>1</v>
      </c>
      <c r="C8">
        <v>1</v>
      </c>
      <c r="E8">
        <f t="shared" si="0"/>
        <v>1</v>
      </c>
    </row>
    <row r="9" spans="1:5">
      <c r="A9" t="s">
        <v>28</v>
      </c>
      <c r="B9">
        <v>1</v>
      </c>
      <c r="C9">
        <v>1</v>
      </c>
      <c r="E9">
        <f t="shared" si="0"/>
        <v>1</v>
      </c>
    </row>
    <row r="10" spans="1:5">
      <c r="A10" t="s">
        <v>29</v>
      </c>
      <c r="B10">
        <v>3</v>
      </c>
      <c r="C10">
        <v>1</v>
      </c>
      <c r="E10">
        <f t="shared" si="0"/>
        <v>3</v>
      </c>
    </row>
    <row r="11" spans="1:5">
      <c r="A11" t="s">
        <v>30</v>
      </c>
      <c r="B11">
        <v>1</v>
      </c>
      <c r="C11">
        <v>1</v>
      </c>
      <c r="E11">
        <f t="shared" si="0"/>
        <v>1</v>
      </c>
    </row>
    <row r="12" spans="1:5">
      <c r="A12" t="s">
        <v>31</v>
      </c>
      <c r="B12">
        <v>1</v>
      </c>
      <c r="C12">
        <v>1</v>
      </c>
      <c r="E12">
        <f t="shared" si="0"/>
        <v>1</v>
      </c>
    </row>
    <row r="13" spans="1:5">
      <c r="A13" t="s">
        <v>32</v>
      </c>
      <c r="B13">
        <v>1</v>
      </c>
      <c r="C13">
        <v>1</v>
      </c>
      <c r="E13">
        <f t="shared" si="0"/>
        <v>1</v>
      </c>
    </row>
    <row r="14" spans="1:5">
      <c r="A14" t="s">
        <v>33</v>
      </c>
      <c r="B14">
        <v>3</v>
      </c>
      <c r="C14">
        <v>1</v>
      </c>
      <c r="E14">
        <f t="shared" si="0"/>
        <v>3</v>
      </c>
    </row>
    <row r="15" spans="1:5">
      <c r="A15" t="s">
        <v>34</v>
      </c>
      <c r="B15">
        <v>1</v>
      </c>
      <c r="C15">
        <v>1</v>
      </c>
      <c r="E15">
        <f t="shared" si="0"/>
        <v>1</v>
      </c>
    </row>
    <row r="16" spans="1:5">
      <c r="A16" t="s">
        <v>35</v>
      </c>
      <c r="B16">
        <v>1</v>
      </c>
      <c r="C16">
        <v>1</v>
      </c>
      <c r="E16">
        <f t="shared" si="0"/>
        <v>1</v>
      </c>
    </row>
    <row r="17" spans="1:5">
      <c r="A17" t="s">
        <v>36</v>
      </c>
      <c r="B17">
        <v>3</v>
      </c>
      <c r="C17">
        <v>1</v>
      </c>
      <c r="E17">
        <f t="shared" si="0"/>
        <v>3</v>
      </c>
    </row>
    <row r="18" spans="1:5">
      <c r="A18" t="s">
        <v>37</v>
      </c>
      <c r="B18">
        <v>1</v>
      </c>
      <c r="C18">
        <v>1</v>
      </c>
      <c r="E18">
        <f t="shared" si="0"/>
        <v>1</v>
      </c>
    </row>
    <row r="19" spans="1:5">
      <c r="A19" t="s">
        <v>38</v>
      </c>
      <c r="B19">
        <v>1</v>
      </c>
      <c r="C19">
        <v>1</v>
      </c>
      <c r="E19">
        <f t="shared" si="0"/>
        <v>1</v>
      </c>
    </row>
    <row r="20" spans="1:5">
      <c r="A20" t="s">
        <v>39</v>
      </c>
      <c r="B20">
        <v>3</v>
      </c>
      <c r="C20">
        <v>1</v>
      </c>
      <c r="E20">
        <f t="shared" si="0"/>
        <v>3</v>
      </c>
    </row>
    <row r="21" spans="1:5">
      <c r="A21" t="s">
        <v>40</v>
      </c>
      <c r="B21">
        <v>3</v>
      </c>
      <c r="C21">
        <v>1</v>
      </c>
      <c r="E21">
        <f t="shared" si="0"/>
        <v>3</v>
      </c>
    </row>
    <row r="22" spans="1:5">
      <c r="A22" t="s">
        <v>41</v>
      </c>
      <c r="B22">
        <v>3</v>
      </c>
      <c r="C22">
        <v>1</v>
      </c>
      <c r="E22">
        <f t="shared" si="0"/>
        <v>3</v>
      </c>
    </row>
    <row r="23" spans="1:5">
      <c r="A23" t="s">
        <v>42</v>
      </c>
      <c r="B23">
        <v>1</v>
      </c>
      <c r="C23">
        <v>1</v>
      </c>
      <c r="E23">
        <f t="shared" si="0"/>
        <v>1</v>
      </c>
    </row>
    <row r="24" spans="1:5">
      <c r="A24" t="s">
        <v>43</v>
      </c>
      <c r="B24">
        <v>1</v>
      </c>
      <c r="C24">
        <v>1</v>
      </c>
      <c r="E24">
        <f t="shared" si="0"/>
        <v>1</v>
      </c>
    </row>
    <row r="25" spans="1:5">
      <c r="A25" t="s">
        <v>44</v>
      </c>
      <c r="B25">
        <v>1</v>
      </c>
      <c r="C25">
        <v>1</v>
      </c>
      <c r="E25">
        <f t="shared" si="0"/>
        <v>1</v>
      </c>
    </row>
    <row r="26" spans="1:5">
      <c r="A26" t="s">
        <v>45</v>
      </c>
      <c r="B26">
        <v>3</v>
      </c>
      <c r="C26">
        <v>1</v>
      </c>
      <c r="E26">
        <f t="shared" si="0"/>
        <v>3</v>
      </c>
    </row>
    <row r="27" spans="1:5">
      <c r="A27" t="s">
        <v>46</v>
      </c>
      <c r="B27">
        <v>1</v>
      </c>
      <c r="C27">
        <v>1</v>
      </c>
      <c r="E27">
        <f t="shared" si="0"/>
        <v>1</v>
      </c>
    </row>
    <row r="28" spans="1:5">
      <c r="A28" t="s">
        <v>47</v>
      </c>
      <c r="B28">
        <v>1</v>
      </c>
      <c r="C28">
        <v>1</v>
      </c>
      <c r="E28">
        <f t="shared" si="0"/>
        <v>1</v>
      </c>
    </row>
    <row r="29" spans="1:5">
      <c r="A29" t="s">
        <v>48</v>
      </c>
      <c r="B29">
        <v>1</v>
      </c>
      <c r="C29">
        <v>1</v>
      </c>
      <c r="E29">
        <f t="shared" si="0"/>
        <v>1</v>
      </c>
    </row>
    <row r="30" spans="1:5">
      <c r="A30" t="s">
        <v>49</v>
      </c>
      <c r="B30">
        <v>3</v>
      </c>
      <c r="C30">
        <v>1</v>
      </c>
      <c r="E30">
        <f t="shared" si="0"/>
        <v>3</v>
      </c>
    </row>
    <row r="31" spans="1:5">
      <c r="A31" t="s">
        <v>50</v>
      </c>
      <c r="B31">
        <v>1</v>
      </c>
      <c r="C31">
        <v>1</v>
      </c>
      <c r="E31">
        <f t="shared" si="0"/>
        <v>1</v>
      </c>
    </row>
    <row r="32" spans="1:5">
      <c r="A32" t="s">
        <v>51</v>
      </c>
      <c r="B32">
        <v>1</v>
      </c>
      <c r="C32">
        <v>1</v>
      </c>
      <c r="E32">
        <f t="shared" si="0"/>
        <v>1</v>
      </c>
    </row>
    <row r="33" spans="1:5">
      <c r="A33" t="s">
        <v>52</v>
      </c>
      <c r="B33">
        <v>3</v>
      </c>
      <c r="C33">
        <v>1</v>
      </c>
      <c r="E33">
        <f t="shared" si="0"/>
        <v>3</v>
      </c>
    </row>
    <row r="34" spans="1:5">
      <c r="A34" t="s">
        <v>53</v>
      </c>
      <c r="B34">
        <v>1</v>
      </c>
      <c r="C34">
        <v>1</v>
      </c>
      <c r="E34">
        <f t="shared" si="0"/>
        <v>1</v>
      </c>
    </row>
    <row r="35" spans="1:5">
      <c r="A35" t="s">
        <v>54</v>
      </c>
      <c r="B35">
        <v>1</v>
      </c>
      <c r="C35">
        <v>1</v>
      </c>
      <c r="E35">
        <f t="shared" si="0"/>
        <v>1</v>
      </c>
    </row>
    <row r="36" spans="1:5">
      <c r="A36" t="s">
        <v>55</v>
      </c>
      <c r="B36">
        <v>3</v>
      </c>
      <c r="C36">
        <v>1</v>
      </c>
      <c r="E36">
        <f t="shared" si="0"/>
        <v>3</v>
      </c>
    </row>
    <row r="37" spans="1:5">
      <c r="A37" t="s">
        <v>56</v>
      </c>
      <c r="B37">
        <v>3</v>
      </c>
      <c r="C37">
        <v>1</v>
      </c>
      <c r="E37">
        <f t="shared" si="0"/>
        <v>3</v>
      </c>
    </row>
    <row r="38" spans="1:5">
      <c r="A38" t="s">
        <v>57</v>
      </c>
      <c r="B38">
        <v>3</v>
      </c>
      <c r="C38">
        <v>1</v>
      </c>
      <c r="E38">
        <f t="shared" si="0"/>
        <v>3</v>
      </c>
    </row>
    <row r="39" spans="1:5">
      <c r="A39" t="s">
        <v>58</v>
      </c>
      <c r="B39">
        <v>1</v>
      </c>
      <c r="C39">
        <v>1</v>
      </c>
      <c r="E39">
        <f t="shared" si="0"/>
        <v>1</v>
      </c>
    </row>
    <row r="40" spans="1:5">
      <c r="A40" t="s">
        <v>59</v>
      </c>
      <c r="B40">
        <v>1</v>
      </c>
      <c r="C40">
        <v>1</v>
      </c>
      <c r="E40">
        <f t="shared" si="0"/>
        <v>1</v>
      </c>
    </row>
    <row r="41" spans="1:5">
      <c r="A41" t="s">
        <v>60</v>
      </c>
      <c r="B41">
        <v>3</v>
      </c>
      <c r="C41">
        <v>1</v>
      </c>
      <c r="E41">
        <f t="shared" si="0"/>
        <v>3</v>
      </c>
    </row>
    <row r="42" spans="1:5">
      <c r="A42" t="s">
        <v>61</v>
      </c>
      <c r="B42">
        <v>1</v>
      </c>
      <c r="C42">
        <v>1</v>
      </c>
      <c r="E42">
        <f t="shared" si="0"/>
        <v>1</v>
      </c>
    </row>
    <row r="43" spans="1:5">
      <c r="A43" t="s">
        <v>62</v>
      </c>
      <c r="B43">
        <v>1</v>
      </c>
      <c r="C43">
        <v>1</v>
      </c>
      <c r="E43">
        <f t="shared" si="0"/>
        <v>1</v>
      </c>
    </row>
    <row r="44" spans="1:5">
      <c r="A44" t="s">
        <v>63</v>
      </c>
      <c r="B44">
        <v>3</v>
      </c>
      <c r="C44">
        <v>1</v>
      </c>
      <c r="E44">
        <f t="shared" si="0"/>
        <v>3</v>
      </c>
    </row>
    <row r="45" spans="1:5">
      <c r="A45" t="s">
        <v>64</v>
      </c>
      <c r="B45">
        <v>1</v>
      </c>
      <c r="C45">
        <v>1</v>
      </c>
      <c r="E45">
        <f t="shared" si="0"/>
        <v>1</v>
      </c>
    </row>
    <row r="46" spans="1:5">
      <c r="A46" t="s">
        <v>65</v>
      </c>
      <c r="B46">
        <v>1</v>
      </c>
      <c r="C46">
        <v>1</v>
      </c>
      <c r="E46">
        <f t="shared" si="0"/>
        <v>1</v>
      </c>
    </row>
    <row r="47" spans="1:5">
      <c r="A47" t="s">
        <v>66</v>
      </c>
      <c r="B47">
        <v>3</v>
      </c>
      <c r="C47">
        <v>1</v>
      </c>
      <c r="E47">
        <f t="shared" si="0"/>
        <v>3</v>
      </c>
    </row>
    <row r="48" spans="1:5">
      <c r="A48" t="s">
        <v>67</v>
      </c>
      <c r="B48">
        <v>3</v>
      </c>
      <c r="C48">
        <v>1</v>
      </c>
      <c r="E48">
        <f t="shared" si="0"/>
        <v>3</v>
      </c>
    </row>
    <row r="49" spans="1:5">
      <c r="A49" t="s">
        <v>68</v>
      </c>
      <c r="B49">
        <v>3</v>
      </c>
      <c r="C49">
        <v>1</v>
      </c>
      <c r="E49">
        <f t="shared" si="0"/>
        <v>3</v>
      </c>
    </row>
    <row r="50" spans="1:5">
      <c r="A50" t="s">
        <v>69</v>
      </c>
      <c r="B50">
        <v>1</v>
      </c>
      <c r="C50">
        <v>1</v>
      </c>
      <c r="E50">
        <f t="shared" si="0"/>
        <v>1</v>
      </c>
    </row>
    <row r="51" spans="1:5">
      <c r="A51" t="s">
        <v>70</v>
      </c>
      <c r="B51">
        <v>3</v>
      </c>
      <c r="C51">
        <v>1</v>
      </c>
      <c r="E51">
        <f t="shared" si="0"/>
        <v>3</v>
      </c>
    </row>
    <row r="52" spans="1:5">
      <c r="A52" t="s">
        <v>71</v>
      </c>
      <c r="B52">
        <v>1</v>
      </c>
      <c r="C52">
        <v>1</v>
      </c>
      <c r="E52">
        <f t="shared" si="0"/>
        <v>1</v>
      </c>
    </row>
    <row r="53" spans="1:5">
      <c r="A53" t="s">
        <v>72</v>
      </c>
      <c r="B53">
        <v>1</v>
      </c>
      <c r="C53">
        <v>1</v>
      </c>
      <c r="E53">
        <f t="shared" si="0"/>
        <v>1</v>
      </c>
    </row>
    <row r="54" spans="1:5">
      <c r="A54" t="s">
        <v>73</v>
      </c>
      <c r="B54">
        <v>3</v>
      </c>
      <c r="C54">
        <v>0</v>
      </c>
      <c r="D54" t="s">
        <v>125</v>
      </c>
      <c r="E54">
        <f t="shared" si="0"/>
        <v>0</v>
      </c>
    </row>
    <row r="55" spans="1:5">
      <c r="A55" t="s">
        <v>74</v>
      </c>
      <c r="B55">
        <v>3</v>
      </c>
      <c r="C55">
        <v>1</v>
      </c>
      <c r="E55">
        <f t="shared" si="0"/>
        <v>3</v>
      </c>
    </row>
    <row r="56" spans="1:5">
      <c r="A56" t="s">
        <v>75</v>
      </c>
      <c r="B56">
        <v>3</v>
      </c>
      <c r="C56">
        <v>1</v>
      </c>
      <c r="E56">
        <f t="shared" si="0"/>
        <v>3</v>
      </c>
    </row>
    <row r="57" spans="1:5">
      <c r="A57" t="s">
        <v>76</v>
      </c>
      <c r="B57">
        <v>1</v>
      </c>
      <c r="C57">
        <v>1</v>
      </c>
      <c r="E57">
        <f t="shared" si="0"/>
        <v>1</v>
      </c>
    </row>
    <row r="58" spans="1:5">
      <c r="A58" t="s">
        <v>77</v>
      </c>
      <c r="B58">
        <v>3</v>
      </c>
      <c r="C58">
        <v>1</v>
      </c>
      <c r="E58">
        <f t="shared" si="0"/>
        <v>3</v>
      </c>
    </row>
    <row r="59" spans="1:5">
      <c r="A59" t="s">
        <v>78</v>
      </c>
      <c r="B59">
        <v>3</v>
      </c>
      <c r="C59">
        <v>1</v>
      </c>
      <c r="E59">
        <f t="shared" si="0"/>
        <v>3</v>
      </c>
    </row>
    <row r="60" spans="1:5">
      <c r="A60" t="s">
        <v>79</v>
      </c>
      <c r="B60">
        <v>3</v>
      </c>
      <c r="C60">
        <v>1</v>
      </c>
      <c r="E60">
        <f t="shared" si="0"/>
        <v>3</v>
      </c>
    </row>
    <row r="61" spans="1:5">
      <c r="A61" t="s">
        <v>80</v>
      </c>
      <c r="B61">
        <v>1</v>
      </c>
      <c r="C61">
        <v>1</v>
      </c>
      <c r="E61">
        <f t="shared" si="0"/>
        <v>1</v>
      </c>
    </row>
    <row r="62" spans="1:5">
      <c r="A62" t="s">
        <v>81</v>
      </c>
      <c r="B62">
        <v>3</v>
      </c>
      <c r="C62">
        <v>1</v>
      </c>
      <c r="E62">
        <f t="shared" si="0"/>
        <v>3</v>
      </c>
    </row>
    <row r="63" spans="1:5">
      <c r="A63" t="s">
        <v>82</v>
      </c>
      <c r="B63">
        <v>3</v>
      </c>
      <c r="C63">
        <v>1</v>
      </c>
      <c r="E63">
        <f t="shared" si="0"/>
        <v>3</v>
      </c>
    </row>
    <row r="64" spans="1:5">
      <c r="A64" t="s">
        <v>83</v>
      </c>
      <c r="B64">
        <v>3</v>
      </c>
      <c r="C64">
        <v>1</v>
      </c>
      <c r="E64">
        <f t="shared" si="0"/>
        <v>3</v>
      </c>
    </row>
    <row r="65" spans="1:5">
      <c r="A65" t="s">
        <v>84</v>
      </c>
      <c r="B65">
        <v>1</v>
      </c>
      <c r="C65">
        <v>1</v>
      </c>
      <c r="E65">
        <f t="shared" si="0"/>
        <v>1</v>
      </c>
    </row>
    <row r="66" spans="1:5">
      <c r="A66" t="s">
        <v>85</v>
      </c>
      <c r="B66">
        <v>1</v>
      </c>
      <c r="C66">
        <v>0</v>
      </c>
      <c r="E66">
        <f t="shared" si="0"/>
        <v>0</v>
      </c>
    </row>
    <row r="67" spans="1:5">
      <c r="A67" t="s">
        <v>86</v>
      </c>
      <c r="B67">
        <v>3</v>
      </c>
      <c r="C67">
        <v>1</v>
      </c>
      <c r="E67">
        <f t="shared" ref="E67:E130" si="1">B67*C67</f>
        <v>3</v>
      </c>
    </row>
    <row r="68" spans="1:5">
      <c r="A68" t="s">
        <v>87</v>
      </c>
      <c r="B68">
        <v>1</v>
      </c>
      <c r="C68">
        <v>1</v>
      </c>
      <c r="E68">
        <f t="shared" si="1"/>
        <v>1</v>
      </c>
    </row>
    <row r="69" spans="1:5">
      <c r="A69" t="s">
        <v>88</v>
      </c>
      <c r="B69">
        <v>1</v>
      </c>
      <c r="C69">
        <v>1</v>
      </c>
      <c r="E69">
        <f t="shared" si="1"/>
        <v>1</v>
      </c>
    </row>
    <row r="70" spans="1:5">
      <c r="A70" t="s">
        <v>89</v>
      </c>
      <c r="B70">
        <v>1</v>
      </c>
      <c r="C70">
        <v>1</v>
      </c>
      <c r="E70">
        <f t="shared" si="1"/>
        <v>1</v>
      </c>
    </row>
    <row r="71" spans="1:5">
      <c r="A71" t="s">
        <v>90</v>
      </c>
      <c r="B71">
        <v>3</v>
      </c>
      <c r="C71">
        <v>1</v>
      </c>
      <c r="E71">
        <f t="shared" si="1"/>
        <v>3</v>
      </c>
    </row>
    <row r="72" spans="1:5">
      <c r="A72" t="s">
        <v>91</v>
      </c>
      <c r="B72">
        <v>1</v>
      </c>
      <c r="C72">
        <v>1</v>
      </c>
      <c r="E72">
        <f t="shared" si="1"/>
        <v>1</v>
      </c>
    </row>
    <row r="73" spans="1:5">
      <c r="A73" t="s">
        <v>92</v>
      </c>
      <c r="B73">
        <v>1</v>
      </c>
      <c r="C73">
        <v>1</v>
      </c>
      <c r="E73">
        <f t="shared" si="1"/>
        <v>1</v>
      </c>
    </row>
    <row r="74" spans="1:5">
      <c r="A74" t="s">
        <v>93</v>
      </c>
      <c r="B74">
        <v>3</v>
      </c>
      <c r="C74">
        <v>0</v>
      </c>
      <c r="D74" t="s">
        <v>124</v>
      </c>
      <c r="E74">
        <f t="shared" si="1"/>
        <v>0</v>
      </c>
    </row>
    <row r="75" spans="1:5">
      <c r="A75" t="s">
        <v>94</v>
      </c>
      <c r="B75">
        <v>1</v>
      </c>
      <c r="C75">
        <v>1</v>
      </c>
      <c r="E75">
        <f t="shared" si="1"/>
        <v>1</v>
      </c>
    </row>
    <row r="76" spans="1:5">
      <c r="A76" t="s">
        <v>95</v>
      </c>
      <c r="B76">
        <v>1</v>
      </c>
      <c r="C76">
        <v>1</v>
      </c>
      <c r="E76">
        <f t="shared" si="1"/>
        <v>1</v>
      </c>
    </row>
    <row r="77" spans="1:5">
      <c r="A77" t="s">
        <v>96</v>
      </c>
      <c r="B77">
        <v>3</v>
      </c>
      <c r="C77">
        <v>1</v>
      </c>
      <c r="E77">
        <f t="shared" si="1"/>
        <v>3</v>
      </c>
    </row>
    <row r="78" spans="1:5">
      <c r="A78" t="s">
        <v>97</v>
      </c>
      <c r="B78">
        <v>3</v>
      </c>
      <c r="C78">
        <v>1</v>
      </c>
      <c r="E78">
        <f t="shared" si="1"/>
        <v>3</v>
      </c>
    </row>
    <row r="79" spans="1:5">
      <c r="A79" t="s">
        <v>98</v>
      </c>
      <c r="B79">
        <v>3</v>
      </c>
      <c r="C79">
        <v>1</v>
      </c>
      <c r="E79">
        <f t="shared" si="1"/>
        <v>3</v>
      </c>
    </row>
    <row r="80" spans="1:5">
      <c r="A80" t="s">
        <v>99</v>
      </c>
      <c r="B80">
        <v>1</v>
      </c>
      <c r="C80">
        <v>1</v>
      </c>
      <c r="E80">
        <f t="shared" si="1"/>
        <v>1</v>
      </c>
    </row>
    <row r="81" spans="1:5">
      <c r="A81" t="s">
        <v>100</v>
      </c>
      <c r="B81">
        <v>1</v>
      </c>
      <c r="C81">
        <v>1</v>
      </c>
      <c r="E81">
        <f t="shared" si="1"/>
        <v>1</v>
      </c>
    </row>
    <row r="82" spans="1:5">
      <c r="A82" t="s">
        <v>101</v>
      </c>
      <c r="B82">
        <v>3</v>
      </c>
      <c r="C82">
        <v>1</v>
      </c>
      <c r="E82">
        <f t="shared" si="1"/>
        <v>3</v>
      </c>
    </row>
    <row r="83" spans="1:5">
      <c r="A83" t="s">
        <v>102</v>
      </c>
      <c r="B83">
        <v>1</v>
      </c>
      <c r="C83">
        <v>1</v>
      </c>
      <c r="E83">
        <f t="shared" si="1"/>
        <v>1</v>
      </c>
    </row>
    <row r="84" spans="1:5">
      <c r="A84" t="s">
        <v>103</v>
      </c>
      <c r="B84">
        <v>1</v>
      </c>
      <c r="C84">
        <v>1</v>
      </c>
      <c r="E84">
        <f t="shared" si="1"/>
        <v>1</v>
      </c>
    </row>
    <row r="85" spans="1:5">
      <c r="A85" t="s">
        <v>104</v>
      </c>
      <c r="B85">
        <v>3</v>
      </c>
      <c r="C85">
        <v>1</v>
      </c>
      <c r="E85">
        <f t="shared" si="1"/>
        <v>3</v>
      </c>
    </row>
    <row r="86" spans="1:5">
      <c r="A86" t="s">
        <v>105</v>
      </c>
      <c r="B86">
        <v>1</v>
      </c>
      <c r="C86">
        <v>1</v>
      </c>
      <c r="E86">
        <f t="shared" si="1"/>
        <v>1</v>
      </c>
    </row>
    <row r="87" spans="1:5">
      <c r="A87" t="s">
        <v>106</v>
      </c>
      <c r="B87">
        <v>1</v>
      </c>
      <c r="C87">
        <v>1</v>
      </c>
      <c r="E87">
        <f t="shared" si="1"/>
        <v>1</v>
      </c>
    </row>
    <row r="88" spans="1:5">
      <c r="A88" t="s">
        <v>107</v>
      </c>
      <c r="B88">
        <v>3</v>
      </c>
      <c r="C88">
        <v>1</v>
      </c>
      <c r="E88">
        <f t="shared" si="1"/>
        <v>3</v>
      </c>
    </row>
    <row r="89" spans="1:5">
      <c r="A89" t="s">
        <v>108</v>
      </c>
      <c r="B89">
        <v>3</v>
      </c>
      <c r="C89">
        <v>1</v>
      </c>
      <c r="E89">
        <f t="shared" si="1"/>
        <v>3</v>
      </c>
    </row>
    <row r="90" spans="1:5">
      <c r="A90" t="s">
        <v>109</v>
      </c>
      <c r="B90">
        <v>3</v>
      </c>
      <c r="C90">
        <v>1</v>
      </c>
      <c r="E90">
        <f t="shared" si="1"/>
        <v>3</v>
      </c>
    </row>
    <row r="91" spans="1:5">
      <c r="A91" t="s">
        <v>110</v>
      </c>
      <c r="B91">
        <v>1</v>
      </c>
      <c r="C91">
        <v>1</v>
      </c>
      <c r="E91">
        <f t="shared" si="1"/>
        <v>1</v>
      </c>
    </row>
    <row r="92" spans="1:5">
      <c r="A92" t="s">
        <v>111</v>
      </c>
      <c r="B92">
        <v>3</v>
      </c>
      <c r="C92">
        <v>0</v>
      </c>
      <c r="D92" t="s">
        <v>126</v>
      </c>
      <c r="E92">
        <f t="shared" si="1"/>
        <v>0</v>
      </c>
    </row>
    <row r="93" spans="1:5">
      <c r="A93" t="s">
        <v>112</v>
      </c>
      <c r="B93">
        <v>1</v>
      </c>
      <c r="C93">
        <v>0</v>
      </c>
      <c r="D93" t="s">
        <v>126</v>
      </c>
      <c r="E93">
        <f t="shared" si="1"/>
        <v>0</v>
      </c>
    </row>
    <row r="94" spans="1:5">
      <c r="A94" t="s">
        <v>113</v>
      </c>
      <c r="B94">
        <v>1</v>
      </c>
      <c r="C94">
        <v>1</v>
      </c>
      <c r="E94">
        <f t="shared" si="1"/>
        <v>1</v>
      </c>
    </row>
    <row r="95" spans="1:5">
      <c r="A95" t="s">
        <v>114</v>
      </c>
      <c r="B95">
        <v>3</v>
      </c>
      <c r="C95">
        <v>0</v>
      </c>
      <c r="D95" t="s">
        <v>126</v>
      </c>
      <c r="E95">
        <f t="shared" si="1"/>
        <v>0</v>
      </c>
    </row>
    <row r="96" spans="1:5">
      <c r="A96" t="s">
        <v>115</v>
      </c>
      <c r="B96">
        <v>3</v>
      </c>
      <c r="C96">
        <v>1</v>
      </c>
      <c r="E96">
        <f t="shared" si="1"/>
        <v>3</v>
      </c>
    </row>
    <row r="97" spans="1:5">
      <c r="A97" t="s">
        <v>116</v>
      </c>
      <c r="B97">
        <v>3</v>
      </c>
      <c r="C97">
        <v>0</v>
      </c>
      <c r="D97" t="s">
        <v>126</v>
      </c>
      <c r="E97">
        <f t="shared" si="1"/>
        <v>0</v>
      </c>
    </row>
    <row r="98" spans="1:5">
      <c r="A98" t="s">
        <v>117</v>
      </c>
      <c r="B98">
        <v>3</v>
      </c>
      <c r="C98">
        <v>0</v>
      </c>
      <c r="D98" t="s">
        <v>126</v>
      </c>
      <c r="E98">
        <f t="shared" si="1"/>
        <v>0</v>
      </c>
    </row>
    <row r="99" spans="1:5">
      <c r="A99" t="s">
        <v>118</v>
      </c>
      <c r="B99">
        <v>3</v>
      </c>
      <c r="C99">
        <v>1</v>
      </c>
      <c r="E99">
        <f t="shared" si="1"/>
        <v>3</v>
      </c>
    </row>
    <row r="100" spans="1:5">
      <c r="A100" t="s">
        <v>119</v>
      </c>
      <c r="B100">
        <v>3</v>
      </c>
      <c r="C100">
        <v>1</v>
      </c>
      <c r="E100">
        <f t="shared" si="1"/>
        <v>3</v>
      </c>
    </row>
    <row r="101" spans="1:5">
      <c r="A101" t="s">
        <v>120</v>
      </c>
      <c r="B101">
        <v>1</v>
      </c>
      <c r="C101">
        <v>1</v>
      </c>
      <c r="E101">
        <f t="shared" si="1"/>
        <v>1</v>
      </c>
    </row>
    <row r="102" spans="1:5">
      <c r="A102" t="s">
        <v>121</v>
      </c>
      <c r="B102">
        <v>3</v>
      </c>
      <c r="C102">
        <v>1</v>
      </c>
      <c r="E102">
        <f t="shared" si="1"/>
        <v>3</v>
      </c>
    </row>
    <row r="103" spans="1:5">
      <c r="A103" t="s">
        <v>122</v>
      </c>
      <c r="B103">
        <v>3</v>
      </c>
      <c r="C103">
        <v>1</v>
      </c>
      <c r="E103">
        <f t="shared" si="1"/>
        <v>3</v>
      </c>
    </row>
    <row r="104" spans="1:5">
      <c r="A104" t="s">
        <v>123</v>
      </c>
      <c r="B104">
        <v>3</v>
      </c>
      <c r="C104">
        <v>1</v>
      </c>
      <c r="E104">
        <f t="shared" si="1"/>
        <v>3</v>
      </c>
    </row>
    <row r="105" spans="1:5">
      <c r="A105" t="s">
        <v>127</v>
      </c>
      <c r="B105">
        <v>1</v>
      </c>
      <c r="C105">
        <v>1</v>
      </c>
      <c r="E105">
        <f t="shared" si="1"/>
        <v>1</v>
      </c>
    </row>
    <row r="106" spans="1:5">
      <c r="A106" t="s">
        <v>128</v>
      </c>
      <c r="B106">
        <v>3</v>
      </c>
      <c r="C106">
        <v>1</v>
      </c>
      <c r="E106">
        <f t="shared" si="1"/>
        <v>3</v>
      </c>
    </row>
    <row r="107" spans="1:5">
      <c r="A107" t="s">
        <v>129</v>
      </c>
      <c r="B107">
        <v>1</v>
      </c>
      <c r="C107">
        <v>1</v>
      </c>
      <c r="E107">
        <f t="shared" si="1"/>
        <v>1</v>
      </c>
    </row>
    <row r="108" spans="1:5">
      <c r="A108" t="s">
        <v>130</v>
      </c>
      <c r="B108">
        <v>1</v>
      </c>
      <c r="C108">
        <v>1</v>
      </c>
      <c r="E108">
        <f t="shared" si="1"/>
        <v>1</v>
      </c>
    </row>
    <row r="109" spans="1:5">
      <c r="A109" t="s">
        <v>131</v>
      </c>
      <c r="B109">
        <v>3</v>
      </c>
      <c r="C109">
        <v>0</v>
      </c>
      <c r="D109" t="s">
        <v>126</v>
      </c>
      <c r="E109">
        <f t="shared" si="1"/>
        <v>0</v>
      </c>
    </row>
    <row r="110" spans="1:5">
      <c r="A110" t="s">
        <v>132</v>
      </c>
      <c r="B110">
        <v>1</v>
      </c>
      <c r="C110">
        <v>0</v>
      </c>
      <c r="E110">
        <f t="shared" si="1"/>
        <v>0</v>
      </c>
    </row>
    <row r="111" spans="1:5">
      <c r="A111" t="s">
        <v>133</v>
      </c>
      <c r="B111">
        <v>1</v>
      </c>
      <c r="C111">
        <v>1</v>
      </c>
      <c r="E111">
        <f t="shared" si="1"/>
        <v>1</v>
      </c>
    </row>
    <row r="112" spans="1:5">
      <c r="A112" t="s">
        <v>134</v>
      </c>
      <c r="B112">
        <v>3</v>
      </c>
      <c r="C112">
        <v>1</v>
      </c>
      <c r="E112">
        <f t="shared" si="1"/>
        <v>3</v>
      </c>
    </row>
    <row r="113" spans="1:5">
      <c r="A113" t="s">
        <v>135</v>
      </c>
      <c r="B113">
        <v>3</v>
      </c>
      <c r="C113">
        <v>1</v>
      </c>
      <c r="E113">
        <f t="shared" si="1"/>
        <v>3</v>
      </c>
    </row>
    <row r="114" spans="1:5">
      <c r="A114" t="s">
        <v>136</v>
      </c>
      <c r="B114">
        <v>3</v>
      </c>
      <c r="C114" s="1">
        <v>0</v>
      </c>
      <c r="E114">
        <f t="shared" si="1"/>
        <v>0</v>
      </c>
    </row>
    <row r="115" spans="1:5">
      <c r="A115" t="s">
        <v>137</v>
      </c>
      <c r="B115">
        <v>1</v>
      </c>
      <c r="C115">
        <v>1</v>
      </c>
      <c r="E115">
        <f t="shared" si="1"/>
        <v>1</v>
      </c>
    </row>
    <row r="116" spans="1:5">
      <c r="A116" t="s">
        <v>138</v>
      </c>
      <c r="B116">
        <v>3</v>
      </c>
      <c r="C116">
        <v>0</v>
      </c>
      <c r="D116" t="s">
        <v>126</v>
      </c>
      <c r="E116">
        <f t="shared" si="1"/>
        <v>0</v>
      </c>
    </row>
    <row r="117" spans="1:5">
      <c r="A117" t="s">
        <v>139</v>
      </c>
      <c r="B117">
        <v>1</v>
      </c>
      <c r="C117">
        <v>0</v>
      </c>
      <c r="D117" t="s">
        <v>126</v>
      </c>
      <c r="E117">
        <f t="shared" si="1"/>
        <v>0</v>
      </c>
    </row>
    <row r="118" spans="1:5">
      <c r="A118" t="s">
        <v>140</v>
      </c>
      <c r="B118">
        <v>1</v>
      </c>
      <c r="C118">
        <v>1</v>
      </c>
      <c r="E118">
        <f t="shared" si="1"/>
        <v>1</v>
      </c>
    </row>
    <row r="119" spans="1:5">
      <c r="A119" t="s">
        <v>141</v>
      </c>
      <c r="B119">
        <v>3</v>
      </c>
      <c r="C119">
        <v>0</v>
      </c>
      <c r="D119" t="s">
        <v>126</v>
      </c>
      <c r="E119">
        <f t="shared" si="1"/>
        <v>0</v>
      </c>
    </row>
    <row r="120" spans="1:5">
      <c r="A120" t="s">
        <v>142</v>
      </c>
      <c r="B120">
        <v>3</v>
      </c>
      <c r="C120">
        <v>0</v>
      </c>
      <c r="D120" t="s">
        <v>126</v>
      </c>
      <c r="E120">
        <f t="shared" si="1"/>
        <v>0</v>
      </c>
    </row>
    <row r="121" spans="1:5">
      <c r="A121" t="s">
        <v>143</v>
      </c>
      <c r="B121">
        <v>3</v>
      </c>
      <c r="C121">
        <v>1</v>
      </c>
      <c r="E121">
        <f t="shared" si="1"/>
        <v>3</v>
      </c>
    </row>
    <row r="122" spans="1:5">
      <c r="A122" t="s">
        <v>144</v>
      </c>
      <c r="B122">
        <v>1</v>
      </c>
      <c r="C122">
        <v>1</v>
      </c>
      <c r="E122">
        <f t="shared" si="1"/>
        <v>1</v>
      </c>
    </row>
    <row r="123" spans="1:5">
      <c r="A123" t="s">
        <v>145</v>
      </c>
      <c r="B123">
        <v>3</v>
      </c>
      <c r="C123">
        <v>0</v>
      </c>
      <c r="E123">
        <f t="shared" si="1"/>
        <v>0</v>
      </c>
    </row>
    <row r="124" spans="1:5">
      <c r="A124" t="s">
        <v>146</v>
      </c>
      <c r="B124">
        <v>3</v>
      </c>
      <c r="C124">
        <v>0</v>
      </c>
      <c r="E124">
        <f t="shared" si="1"/>
        <v>0</v>
      </c>
    </row>
    <row r="125" spans="1:5">
      <c r="A125" t="s">
        <v>147</v>
      </c>
      <c r="B125">
        <v>3</v>
      </c>
      <c r="C125">
        <v>0</v>
      </c>
      <c r="E125">
        <f t="shared" si="1"/>
        <v>0</v>
      </c>
    </row>
    <row r="126" spans="1:5">
      <c r="A126" t="s">
        <v>182</v>
      </c>
      <c r="B126">
        <v>1</v>
      </c>
      <c r="C126">
        <v>1</v>
      </c>
      <c r="E126">
        <f t="shared" si="1"/>
        <v>1</v>
      </c>
    </row>
    <row r="127" spans="1:5">
      <c r="A127" t="s">
        <v>148</v>
      </c>
      <c r="B127">
        <v>1</v>
      </c>
      <c r="C127">
        <v>0</v>
      </c>
      <c r="E127">
        <f t="shared" si="1"/>
        <v>0</v>
      </c>
    </row>
    <row r="128" spans="1:5">
      <c r="A128" t="s">
        <v>149</v>
      </c>
      <c r="B128">
        <v>3</v>
      </c>
      <c r="C128">
        <v>0</v>
      </c>
      <c r="E128">
        <f t="shared" si="1"/>
        <v>0</v>
      </c>
    </row>
    <row r="129" spans="1:5">
      <c r="A129" t="s">
        <v>150</v>
      </c>
      <c r="B129">
        <v>3</v>
      </c>
      <c r="C129">
        <v>0</v>
      </c>
      <c r="E129">
        <f t="shared" si="1"/>
        <v>0</v>
      </c>
    </row>
    <row r="130" spans="1:5">
      <c r="A130" t="s">
        <v>151</v>
      </c>
      <c r="B130">
        <v>3</v>
      </c>
      <c r="C130">
        <v>1</v>
      </c>
      <c r="E130">
        <f t="shared" si="1"/>
        <v>3</v>
      </c>
    </row>
    <row r="131" spans="1:5">
      <c r="A131" t="s">
        <v>152</v>
      </c>
      <c r="B131">
        <v>3</v>
      </c>
      <c r="C131">
        <v>1</v>
      </c>
      <c r="E131">
        <f t="shared" ref="E131:E160" si="2">B131*C131</f>
        <v>3</v>
      </c>
    </row>
    <row r="132" spans="1:5">
      <c r="A132" t="s">
        <v>153</v>
      </c>
      <c r="B132">
        <v>1</v>
      </c>
      <c r="C132">
        <v>1</v>
      </c>
      <c r="E132">
        <f t="shared" si="2"/>
        <v>1</v>
      </c>
    </row>
    <row r="133" spans="1:5">
      <c r="A133" t="s">
        <v>154</v>
      </c>
      <c r="B133">
        <v>1</v>
      </c>
      <c r="C133">
        <v>1</v>
      </c>
      <c r="E133">
        <f t="shared" si="2"/>
        <v>1</v>
      </c>
    </row>
    <row r="134" spans="1:5">
      <c r="A134" t="s">
        <v>155</v>
      </c>
      <c r="B134">
        <v>3</v>
      </c>
      <c r="C134">
        <v>0</v>
      </c>
      <c r="D134" t="s">
        <v>126</v>
      </c>
      <c r="E134">
        <f t="shared" si="2"/>
        <v>0</v>
      </c>
    </row>
    <row r="135" spans="1:5">
      <c r="A135" t="s">
        <v>156</v>
      </c>
      <c r="B135">
        <v>3</v>
      </c>
      <c r="C135">
        <v>1</v>
      </c>
      <c r="E135">
        <f t="shared" si="2"/>
        <v>3</v>
      </c>
    </row>
    <row r="136" spans="1:5">
      <c r="A136" t="s">
        <v>157</v>
      </c>
      <c r="B136">
        <v>3</v>
      </c>
      <c r="C136">
        <v>0</v>
      </c>
      <c r="D136" t="s">
        <v>126</v>
      </c>
      <c r="E136">
        <f t="shared" si="2"/>
        <v>0</v>
      </c>
    </row>
    <row r="137" spans="1:5">
      <c r="A137" t="s">
        <v>158</v>
      </c>
      <c r="B137">
        <v>1</v>
      </c>
      <c r="C137">
        <v>1</v>
      </c>
      <c r="E137">
        <f t="shared" si="2"/>
        <v>1</v>
      </c>
    </row>
    <row r="138" spans="1:5">
      <c r="A138" t="s">
        <v>159</v>
      </c>
      <c r="B138">
        <v>3</v>
      </c>
      <c r="C138">
        <v>0</v>
      </c>
      <c r="D138" t="s">
        <v>126</v>
      </c>
      <c r="E138">
        <f t="shared" si="2"/>
        <v>0</v>
      </c>
    </row>
    <row r="139" spans="1:5">
      <c r="A139" t="s">
        <v>160</v>
      </c>
      <c r="B139">
        <v>3</v>
      </c>
      <c r="C139">
        <v>1</v>
      </c>
      <c r="E139">
        <f t="shared" si="2"/>
        <v>3</v>
      </c>
    </row>
    <row r="140" spans="1:5">
      <c r="A140" t="s">
        <v>161</v>
      </c>
      <c r="B140">
        <v>3</v>
      </c>
      <c r="C140">
        <v>1</v>
      </c>
      <c r="E140">
        <f t="shared" si="2"/>
        <v>3</v>
      </c>
    </row>
    <row r="141" spans="1:5">
      <c r="A141" t="s">
        <v>162</v>
      </c>
      <c r="B141">
        <v>1</v>
      </c>
      <c r="C141">
        <v>1</v>
      </c>
      <c r="E141">
        <f t="shared" si="2"/>
        <v>1</v>
      </c>
    </row>
    <row r="142" spans="1:5">
      <c r="A142" t="s">
        <v>163</v>
      </c>
      <c r="B142">
        <v>1</v>
      </c>
      <c r="C142">
        <v>0</v>
      </c>
      <c r="E142">
        <f t="shared" si="2"/>
        <v>0</v>
      </c>
    </row>
    <row r="143" spans="1:5">
      <c r="A143" t="s">
        <v>164</v>
      </c>
      <c r="B143">
        <v>3</v>
      </c>
      <c r="C143">
        <v>0</v>
      </c>
      <c r="E143">
        <f t="shared" si="2"/>
        <v>0</v>
      </c>
    </row>
    <row r="144" spans="1:5">
      <c r="A144" t="s">
        <v>165</v>
      </c>
      <c r="B144">
        <v>3</v>
      </c>
      <c r="C144">
        <v>0</v>
      </c>
      <c r="E144">
        <f t="shared" si="2"/>
        <v>0</v>
      </c>
    </row>
    <row r="145" spans="1:5">
      <c r="A145" t="s">
        <v>166</v>
      </c>
      <c r="B145">
        <v>3</v>
      </c>
      <c r="C145">
        <v>1</v>
      </c>
      <c r="E145">
        <f t="shared" si="2"/>
        <v>3</v>
      </c>
    </row>
    <row r="146" spans="1:5">
      <c r="A146" t="s">
        <v>167</v>
      </c>
      <c r="B146">
        <v>3</v>
      </c>
      <c r="C146">
        <v>0</v>
      </c>
      <c r="D146" t="s">
        <v>126</v>
      </c>
      <c r="E146">
        <f t="shared" si="2"/>
        <v>0</v>
      </c>
    </row>
    <row r="147" spans="1:5">
      <c r="A147" t="s">
        <v>168</v>
      </c>
      <c r="B147">
        <v>3</v>
      </c>
      <c r="C147">
        <v>0</v>
      </c>
      <c r="D147" t="s">
        <v>126</v>
      </c>
      <c r="E147">
        <f t="shared" si="2"/>
        <v>0</v>
      </c>
    </row>
    <row r="148" spans="1:5">
      <c r="A148" t="s">
        <v>169</v>
      </c>
      <c r="B148">
        <v>3</v>
      </c>
      <c r="C148">
        <v>0</v>
      </c>
      <c r="D148" t="s">
        <v>126</v>
      </c>
      <c r="E148">
        <f t="shared" si="2"/>
        <v>0</v>
      </c>
    </row>
    <row r="149" spans="1:5">
      <c r="A149" t="s">
        <v>170</v>
      </c>
      <c r="B149">
        <v>1</v>
      </c>
      <c r="C149">
        <v>0</v>
      </c>
      <c r="D149" t="s">
        <v>126</v>
      </c>
      <c r="E149">
        <f t="shared" si="2"/>
        <v>0</v>
      </c>
    </row>
    <row r="150" spans="1:5">
      <c r="A150" t="s">
        <v>171</v>
      </c>
      <c r="B150">
        <v>1</v>
      </c>
      <c r="C150">
        <v>0</v>
      </c>
      <c r="D150" t="s">
        <v>126</v>
      </c>
      <c r="E150">
        <f t="shared" si="2"/>
        <v>0</v>
      </c>
    </row>
    <row r="151" spans="1:5">
      <c r="A151" t="s">
        <v>172</v>
      </c>
      <c r="B151">
        <v>3</v>
      </c>
      <c r="C151">
        <v>0</v>
      </c>
      <c r="D151" t="s">
        <v>126</v>
      </c>
      <c r="E151">
        <f t="shared" si="2"/>
        <v>0</v>
      </c>
    </row>
    <row r="152" spans="1:5">
      <c r="A152" t="s">
        <v>173</v>
      </c>
      <c r="B152">
        <v>3</v>
      </c>
      <c r="C152">
        <v>0</v>
      </c>
      <c r="D152" t="s">
        <v>126</v>
      </c>
      <c r="E152">
        <f t="shared" si="2"/>
        <v>0</v>
      </c>
    </row>
    <row r="153" spans="1:5">
      <c r="A153" t="s">
        <v>174</v>
      </c>
      <c r="B153">
        <v>3</v>
      </c>
      <c r="C153">
        <v>0</v>
      </c>
      <c r="D153" t="s">
        <v>126</v>
      </c>
      <c r="E153">
        <f t="shared" si="2"/>
        <v>0</v>
      </c>
    </row>
    <row r="154" spans="1:5">
      <c r="A154" t="s">
        <v>175</v>
      </c>
      <c r="B154">
        <v>1</v>
      </c>
      <c r="C154">
        <v>0</v>
      </c>
      <c r="E154">
        <f t="shared" si="2"/>
        <v>0</v>
      </c>
    </row>
    <row r="155" spans="1:5">
      <c r="A155" t="s">
        <v>176</v>
      </c>
      <c r="B155">
        <v>3</v>
      </c>
      <c r="C155">
        <v>0</v>
      </c>
      <c r="E155">
        <f t="shared" si="2"/>
        <v>0</v>
      </c>
    </row>
    <row r="156" spans="1:5">
      <c r="A156" t="s">
        <v>177</v>
      </c>
      <c r="B156">
        <v>3</v>
      </c>
      <c r="C156">
        <v>1</v>
      </c>
      <c r="E156">
        <f t="shared" si="2"/>
        <v>3</v>
      </c>
    </row>
    <row r="157" spans="1:5">
      <c r="A157" t="s">
        <v>178</v>
      </c>
      <c r="B157">
        <v>3</v>
      </c>
      <c r="C157">
        <v>0</v>
      </c>
      <c r="E157">
        <f t="shared" si="2"/>
        <v>0</v>
      </c>
    </row>
    <row r="158" spans="1:5">
      <c r="A158" t="s">
        <v>179</v>
      </c>
      <c r="B158">
        <v>1</v>
      </c>
      <c r="C158">
        <v>0</v>
      </c>
      <c r="E158">
        <f t="shared" si="2"/>
        <v>0</v>
      </c>
    </row>
    <row r="159" spans="1:5">
      <c r="A159" t="s">
        <v>180</v>
      </c>
      <c r="B159">
        <v>1</v>
      </c>
      <c r="C159">
        <v>0</v>
      </c>
      <c r="E159">
        <f t="shared" si="2"/>
        <v>0</v>
      </c>
    </row>
    <row r="160" spans="1:5">
      <c r="A160" t="s">
        <v>181</v>
      </c>
      <c r="B160">
        <v>3</v>
      </c>
      <c r="C160">
        <v>0</v>
      </c>
      <c r="E160">
        <f t="shared" si="2"/>
        <v>0</v>
      </c>
    </row>
    <row r="161" spans="2:5">
      <c r="B161">
        <f>SUM(B2:B160)</f>
        <v>327</v>
      </c>
      <c r="E161">
        <f>SUM(E2:E160)</f>
        <v>226</v>
      </c>
    </row>
    <row r="162" spans="2:5">
      <c r="E162">
        <f>E161/B161</f>
        <v>0.69113149847094801</v>
      </c>
    </row>
    <row r="163" spans="2:5">
      <c r="E163" t="s">
        <v>183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UC-Berkeley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Day</dc:creator>
  <cp:lastModifiedBy>Jesse Day</cp:lastModifiedBy>
  <dcterms:created xsi:type="dcterms:W3CDTF">2013-02-19T09:30:25Z</dcterms:created>
  <dcterms:modified xsi:type="dcterms:W3CDTF">2013-06-18T22:08:50Z</dcterms:modified>
</cp:coreProperties>
</file>